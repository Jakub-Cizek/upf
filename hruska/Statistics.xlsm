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charts/chart2.xml" ContentType="application/vnd.openxmlformats-officedocument.drawingml.chart+xml"/>
  <Default Extension="emf" ContentType="image/x-emf"/>
  <Override PartName="/xl/activeX/activeX5.xml" ContentType="application/vnd.ms-office.activeX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5.bin" ContentType="application/vnd.ms-office.activeX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90" windowWidth="28755" windowHeight="14385"/>
  </bookViews>
  <sheets>
    <sheet name="descriptive" sheetId="1" r:id="rId1"/>
    <sheet name="correlation" sheetId="2" r:id="rId2"/>
    <sheet name="List3" sheetId="3" r:id="rId3"/>
  </sheets>
  <calcPr calcId="125725"/>
</workbook>
</file>

<file path=xl/calcChain.xml><?xml version="1.0" encoding="utf-8"?>
<calcChain xmlns="http://schemas.openxmlformats.org/spreadsheetml/2006/main">
  <c r="R10" i="1"/>
  <c r="R5"/>
</calcChain>
</file>

<file path=xl/sharedStrings.xml><?xml version="1.0" encoding="utf-8"?>
<sst xmlns="http://schemas.openxmlformats.org/spreadsheetml/2006/main" count="77" uniqueCount="39">
  <si>
    <t>Data</t>
  </si>
  <si>
    <t>3-sigma test</t>
  </si>
  <si>
    <t>3-sigma test removed data</t>
  </si>
  <si>
    <t>row</t>
  </si>
  <si>
    <t>histogram</t>
  </si>
  <si>
    <t>min</t>
  </si>
  <si>
    <t>max</t>
  </si>
  <si>
    <t>delta</t>
  </si>
  <si>
    <t>bins=</t>
  </si>
  <si>
    <t>munber of bins</t>
  </si>
  <si>
    <t>delta=</t>
  </si>
  <si>
    <t>bin</t>
  </si>
  <si>
    <t>count</t>
  </si>
  <si>
    <t>cumulative</t>
  </si>
  <si>
    <t xml:space="preserve">descriptive statistics </t>
  </si>
  <si>
    <t>x</t>
  </si>
  <si>
    <t>y</t>
  </si>
  <si>
    <t>number of data</t>
  </si>
  <si>
    <t>mean</t>
  </si>
  <si>
    <t>median</t>
  </si>
  <si>
    <t>min value</t>
  </si>
  <si>
    <t>max value</t>
  </si>
  <si>
    <t>standard deviation</t>
  </si>
  <si>
    <t>standard deviation of mean</t>
  </si>
  <si>
    <t>skewness</t>
  </si>
  <si>
    <t>x-data</t>
  </si>
  <si>
    <t>y-data</t>
  </si>
  <si>
    <t>cov(x,y)=</t>
  </si>
  <si>
    <t>correlation(x,y)=</t>
  </si>
  <si>
    <t>error of correlation=</t>
  </si>
  <si>
    <t>number of data in 3-sigma range</t>
  </si>
  <si>
    <t>number of data outside 3-sigma range</t>
  </si>
  <si>
    <t>skew</t>
  </si>
  <si>
    <t>St</t>
  </si>
  <si>
    <t>výška</t>
  </si>
  <si>
    <t>váha</t>
  </si>
  <si>
    <t>měsíc</t>
  </si>
  <si>
    <t>Po</t>
  </si>
  <si>
    <t>čt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</si>
</sst>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ální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cs-CZ"/>
  <c:chart>
    <c:title>
      <c:tx>
        <c:rich>
          <a:bodyPr/>
          <a:lstStyle/>
          <a:p>
            <a:pPr>
              <a:defRPr/>
            </a:pPr>
            <a:r>
              <a:rPr lang="en-US"/>
              <a:t>histogram</a:t>
            </a:r>
            <a:endParaRPr lang="cs-CZ"/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cat>
            <c:numRef>
              <c:f>descriptive!$S$2:$S$30</c:f>
              <c:numCache>
                <c:formatCode>General</c:formatCode>
                <c:ptCount val="29"/>
                <c:pt idx="0">
                  <c:v>1.4</c:v>
                </c:pt>
                <c:pt idx="1">
                  <c:v>1.5</c:v>
                </c:pt>
                <c:pt idx="2">
                  <c:v>1.5999999999999999</c:v>
                </c:pt>
                <c:pt idx="3">
                  <c:v>1.7</c:v>
                </c:pt>
                <c:pt idx="4">
                  <c:v>1.7999999999999998</c:v>
                </c:pt>
                <c:pt idx="5">
                  <c:v>1.9</c:v>
                </c:pt>
                <c:pt idx="6">
                  <c:v>2</c:v>
                </c:pt>
              </c:numCache>
            </c:numRef>
          </c:cat>
          <c:val>
            <c:numRef>
              <c:f>descriptive!$T$2:$T$10</c:f>
              <c:numCache>
                <c:formatCode>General</c:formatCode>
                <c:ptCount val="9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axId val="58108160"/>
        <c:axId val="58126336"/>
      </c:barChart>
      <c:catAx>
        <c:axId val="58108160"/>
        <c:scaling>
          <c:orientation val="minMax"/>
        </c:scaling>
        <c:axPos val="b"/>
        <c:numFmt formatCode="General" sourceLinked="1"/>
        <c:majorTickMark val="none"/>
        <c:tickLblPos val="nextTo"/>
        <c:crossAx val="58126336"/>
        <c:crosses val="autoZero"/>
        <c:auto val="1"/>
        <c:lblAlgn val="ctr"/>
        <c:lblOffset val="100"/>
      </c:catAx>
      <c:valAx>
        <c:axId val="58126336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58108160"/>
        <c:crosses val="autoZero"/>
        <c:crossBetween val="between"/>
      </c:valAx>
    </c:plotArea>
    <c:plotVisOnly val="1"/>
  </c:chart>
  <c:printSettings>
    <c:headerFooter/>
    <c:pageMargins b="0.78740157499999996" l="0.70000000000000007" r="0.70000000000000007" t="0.78740157499999996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cs-CZ"/>
  <c:chart>
    <c:title>
      <c:tx>
        <c:rich>
          <a:bodyPr/>
          <a:lstStyle/>
          <a:p>
            <a:pPr>
              <a:defRPr/>
            </a:pPr>
            <a:r>
              <a:rPr lang="cs-CZ"/>
              <a:t>cumulative</a:t>
            </a:r>
            <a:r>
              <a:rPr lang="cs-CZ" baseline="0"/>
              <a:t> histogram</a:t>
            </a:r>
            <a:endParaRPr lang="cs-CZ"/>
          </a:p>
        </c:rich>
      </c:tx>
      <c:layout/>
    </c:title>
    <c:plotArea>
      <c:layout/>
      <c:scatterChart>
        <c:scatterStyle val="lineMarker"/>
        <c:ser>
          <c:idx val="0"/>
          <c:order val="0"/>
          <c:xVal>
            <c:numRef>
              <c:f>descriptive!$S$2:$S$8</c:f>
              <c:numCache>
                <c:formatCode>General</c:formatCode>
                <c:ptCount val="7"/>
                <c:pt idx="0">
                  <c:v>1.4</c:v>
                </c:pt>
                <c:pt idx="1">
                  <c:v>1.5</c:v>
                </c:pt>
                <c:pt idx="2">
                  <c:v>1.5999999999999999</c:v>
                </c:pt>
                <c:pt idx="3">
                  <c:v>1.7</c:v>
                </c:pt>
                <c:pt idx="4">
                  <c:v>1.7999999999999998</c:v>
                </c:pt>
                <c:pt idx="5">
                  <c:v>1.9</c:v>
                </c:pt>
                <c:pt idx="6">
                  <c:v>2</c:v>
                </c:pt>
              </c:numCache>
            </c:numRef>
          </c:xVal>
          <c:yVal>
            <c:numRef>
              <c:f>descriptive!$U$2:$U$8</c:f>
              <c:numCache>
                <c:formatCode>General</c:formatCode>
                <c:ptCount val="7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11</c:v>
                </c:pt>
              </c:numCache>
            </c:numRef>
          </c:yVal>
        </c:ser>
        <c:axId val="57806208"/>
        <c:axId val="57837056"/>
      </c:scatterChart>
      <c:valAx>
        <c:axId val="57806208"/>
        <c:scaling>
          <c:orientation val="minMax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cs-CZ"/>
                  <a:t>x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7837056"/>
        <c:crosses val="autoZero"/>
        <c:crossBetween val="midCat"/>
      </c:valAx>
      <c:valAx>
        <c:axId val="5783705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cs-CZ"/>
                  <a:t>y</a:t>
                </a: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crossAx val="57806208"/>
        <c:crosses val="autoZero"/>
        <c:crossBetween val="midCat"/>
      </c:valAx>
    </c:plotArea>
    <c:plotVisOnly val="1"/>
  </c:chart>
  <c:printSettings>
    <c:headerFooter/>
    <c:pageMargins b="0.78740157499999996" l="0.70000000000000007" r="0.70000000000000007" t="0.78740157499999996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cs-CZ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correlation!$A$2:$A$15</c:f>
              <c:numCache>
                <c:formatCode>General</c:formatCode>
                <c:ptCount val="14"/>
                <c:pt idx="0">
                  <c:v>1.9</c:v>
                </c:pt>
                <c:pt idx="1">
                  <c:v>1.8</c:v>
                </c:pt>
                <c:pt idx="2">
                  <c:v>1.71</c:v>
                </c:pt>
                <c:pt idx="3">
                  <c:v>1.7</c:v>
                </c:pt>
                <c:pt idx="4">
                  <c:v>1.74</c:v>
                </c:pt>
                <c:pt idx="5">
                  <c:v>1.59</c:v>
                </c:pt>
                <c:pt idx="6">
                  <c:v>1.78</c:v>
                </c:pt>
                <c:pt idx="7">
                  <c:v>1.75</c:v>
                </c:pt>
                <c:pt idx="8">
                  <c:v>1.78</c:v>
                </c:pt>
                <c:pt idx="9">
                  <c:v>1.9</c:v>
                </c:pt>
                <c:pt idx="10">
                  <c:v>1.65</c:v>
                </c:pt>
              </c:numCache>
            </c:numRef>
          </c:xVal>
          <c:yVal>
            <c:numRef>
              <c:f>correlation!$B$2:$B$15</c:f>
              <c:numCache>
                <c:formatCode>General</c:formatCode>
                <c:ptCount val="14"/>
                <c:pt idx="0">
                  <c:v>83</c:v>
                </c:pt>
                <c:pt idx="1">
                  <c:v>67</c:v>
                </c:pt>
                <c:pt idx="2">
                  <c:v>53</c:v>
                </c:pt>
                <c:pt idx="3">
                  <c:v>56</c:v>
                </c:pt>
                <c:pt idx="4">
                  <c:v>68</c:v>
                </c:pt>
                <c:pt idx="5">
                  <c:v>60</c:v>
                </c:pt>
                <c:pt idx="6">
                  <c:v>70</c:v>
                </c:pt>
                <c:pt idx="7">
                  <c:v>55</c:v>
                </c:pt>
                <c:pt idx="8">
                  <c:v>64</c:v>
                </c:pt>
                <c:pt idx="9">
                  <c:v>80</c:v>
                </c:pt>
                <c:pt idx="10">
                  <c:v>60</c:v>
                </c:pt>
              </c:numCache>
            </c:numRef>
          </c:yVal>
        </c:ser>
        <c:axId val="65129088"/>
        <c:axId val="65127552"/>
      </c:scatterChart>
      <c:valAx>
        <c:axId val="65129088"/>
        <c:scaling>
          <c:orientation val="minMax"/>
          <c:min val="1.4"/>
        </c:scaling>
        <c:axPos val="b"/>
        <c:numFmt formatCode="General" sourceLinked="1"/>
        <c:majorTickMark val="in"/>
        <c:tickLblPos val="nextTo"/>
        <c:crossAx val="65127552"/>
        <c:crosses val="autoZero"/>
        <c:crossBetween val="midCat"/>
      </c:valAx>
      <c:valAx>
        <c:axId val="65127552"/>
        <c:scaling>
          <c:orientation val="minMax"/>
        </c:scaling>
        <c:axPos val="l"/>
        <c:majorGridlines>
          <c:spPr>
            <a:ln w="0">
              <a:solidFill>
                <a:schemeClr val="bg1"/>
              </a:solidFill>
            </a:ln>
          </c:spPr>
        </c:majorGridlines>
        <c:numFmt formatCode="General" sourceLinked="1"/>
        <c:majorTickMark val="in"/>
        <c:tickLblPos val="nextTo"/>
        <c:crossAx val="65129088"/>
        <c:crosses val="autoZero"/>
        <c:crossBetween val="midCat"/>
      </c:valAx>
      <c:spPr>
        <a:noFill/>
        <a:ln>
          <a:noFill/>
        </a:ln>
      </c:spPr>
    </c:plotArea>
    <c:plotVisOnly val="1"/>
  </c:chart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581025</xdr:colOff>
      <xdr:row>1</xdr:row>
      <xdr:rowOff>0</xdr:rowOff>
    </xdr:from>
    <xdr:to>
      <xdr:col>30</xdr:col>
      <xdr:colOff>276225</xdr:colOff>
      <xdr:row>15</xdr:row>
      <xdr:rowOff>76200</xdr:rowOff>
    </xdr:to>
    <xdr:graphicFrame macro="">
      <xdr:nvGraphicFramePr>
        <xdr:cNvPr id="5" name="Graf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590550</xdr:colOff>
      <xdr:row>16</xdr:row>
      <xdr:rowOff>133350</xdr:rowOff>
    </xdr:from>
    <xdr:to>
      <xdr:col>30</xdr:col>
      <xdr:colOff>285750</xdr:colOff>
      <xdr:row>31</xdr:row>
      <xdr:rowOff>19050</xdr:rowOff>
    </xdr:to>
    <xdr:graphicFrame macro="">
      <xdr:nvGraphicFramePr>
        <xdr:cNvPr id="6" name="Graf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238125</xdr:colOff>
      <xdr:row>1</xdr:row>
      <xdr:rowOff>9525</xdr:rowOff>
    </xdr:from>
    <xdr:to>
      <xdr:col>25</xdr:col>
      <xdr:colOff>9525</xdr:colOff>
      <xdr:row>15</xdr:row>
      <xdr:rowOff>85725</xdr:rowOff>
    </xdr:to>
    <xdr:graphicFrame macro="">
      <xdr:nvGraphicFramePr>
        <xdr:cNvPr id="2" name="Graf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iv sady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List1"/>
  <dimension ref="A1:U12"/>
  <sheetViews>
    <sheetView tabSelected="1" workbookViewId="0">
      <selection activeCell="R21" sqref="R21"/>
    </sheetView>
  </sheetViews>
  <sheetFormatPr defaultRowHeight="15"/>
  <cols>
    <col min="2" max="2" width="30.28515625" customWidth="1"/>
    <col min="4" max="4" width="8.85546875" customWidth="1"/>
    <col min="5" max="5" width="11" customWidth="1"/>
    <col min="10" max="10" width="35.7109375" customWidth="1"/>
    <col min="12" max="12" width="8.42578125" customWidth="1"/>
    <col min="13" max="13" width="9.85546875" customWidth="1"/>
    <col min="14" max="14" width="26.28515625" customWidth="1"/>
    <col min="17" max="17" width="16.28515625" customWidth="1"/>
    <col min="21" max="21" width="11" customWidth="1"/>
  </cols>
  <sheetData>
    <row r="1" spans="1:21">
      <c r="A1" s="1" t="s">
        <v>0</v>
      </c>
      <c r="B1" s="1" t="s">
        <v>14</v>
      </c>
      <c r="J1" s="1" t="s">
        <v>1</v>
      </c>
      <c r="N1" s="1" t="s">
        <v>2</v>
      </c>
      <c r="O1" t="s">
        <v>3</v>
      </c>
      <c r="R1" s="1" t="s">
        <v>4</v>
      </c>
      <c r="S1" t="s">
        <v>11</v>
      </c>
      <c r="T1" t="s">
        <v>12</v>
      </c>
      <c r="U1" t="s">
        <v>13</v>
      </c>
    </row>
    <row r="2" spans="1:21">
      <c r="A2">
        <v>1.9</v>
      </c>
      <c r="B2" t="s">
        <v>17</v>
      </c>
      <c r="C2">
        <v>11</v>
      </c>
      <c r="I2">
        <v>1.9</v>
      </c>
      <c r="J2" t="s">
        <v>30</v>
      </c>
      <c r="K2">
        <v>11</v>
      </c>
      <c r="Q2" t="s">
        <v>5</v>
      </c>
      <c r="R2">
        <v>1.4</v>
      </c>
      <c r="S2">
        <v>1.4</v>
      </c>
      <c r="T2">
        <v>0</v>
      </c>
      <c r="U2">
        <v>0</v>
      </c>
    </row>
    <row r="3" spans="1:21">
      <c r="A3">
        <v>1.8</v>
      </c>
      <c r="I3">
        <v>1.8</v>
      </c>
      <c r="J3" t="s">
        <v>31</v>
      </c>
      <c r="K3">
        <v>0</v>
      </c>
      <c r="Q3" t="s">
        <v>6</v>
      </c>
      <c r="R3">
        <v>2</v>
      </c>
      <c r="S3">
        <v>1.5</v>
      </c>
      <c r="T3">
        <v>2</v>
      </c>
      <c r="U3">
        <v>2</v>
      </c>
    </row>
    <row r="4" spans="1:21">
      <c r="A4">
        <v>1.71</v>
      </c>
      <c r="B4" t="s">
        <v>18</v>
      </c>
      <c r="C4">
        <v>1.7545454545454542</v>
      </c>
      <c r="I4">
        <v>1.71</v>
      </c>
      <c r="J4" t="s">
        <v>18</v>
      </c>
      <c r="K4">
        <v>1.7545454545454542</v>
      </c>
      <c r="Q4" t="s">
        <v>7</v>
      </c>
      <c r="R4">
        <v>0.1</v>
      </c>
      <c r="S4">
        <v>1.5999999999999999</v>
      </c>
      <c r="T4">
        <v>3</v>
      </c>
      <c r="U4">
        <v>5</v>
      </c>
    </row>
    <row r="5" spans="1:21">
      <c r="A5">
        <v>1.7</v>
      </c>
      <c r="B5" t="s">
        <v>19</v>
      </c>
      <c r="C5">
        <v>1.75</v>
      </c>
      <c r="I5">
        <v>1.7</v>
      </c>
      <c r="J5" t="s">
        <v>19</v>
      </c>
      <c r="K5">
        <v>1.75</v>
      </c>
      <c r="Q5" t="s">
        <v>8</v>
      </c>
      <c r="R5">
        <f>CEILING((R3-R2)/R4,1)</f>
        <v>6</v>
      </c>
      <c r="S5">
        <v>1.7</v>
      </c>
      <c r="T5">
        <v>4</v>
      </c>
      <c r="U5">
        <v>9</v>
      </c>
    </row>
    <row r="6" spans="1:21">
      <c r="A6">
        <v>1.74</v>
      </c>
      <c r="B6" t="s">
        <v>20</v>
      </c>
      <c r="C6">
        <v>1.59</v>
      </c>
      <c r="D6" t="s">
        <v>3</v>
      </c>
      <c r="E6">
        <v>7</v>
      </c>
      <c r="I6">
        <v>1.74</v>
      </c>
      <c r="J6" t="s">
        <v>20</v>
      </c>
      <c r="K6">
        <v>1.59</v>
      </c>
      <c r="L6" t="s">
        <v>3</v>
      </c>
      <c r="M6">
        <v>7</v>
      </c>
      <c r="S6">
        <v>1.7999999999999998</v>
      </c>
      <c r="T6">
        <v>2</v>
      </c>
      <c r="U6">
        <v>11</v>
      </c>
    </row>
    <row r="7" spans="1:21">
      <c r="A7">
        <v>1.59</v>
      </c>
      <c r="B7" t="s">
        <v>21</v>
      </c>
      <c r="C7">
        <v>1.9</v>
      </c>
      <c r="D7" t="s">
        <v>3</v>
      </c>
      <c r="E7">
        <v>2</v>
      </c>
      <c r="I7">
        <v>1.59</v>
      </c>
      <c r="J7" t="s">
        <v>21</v>
      </c>
      <c r="K7">
        <v>1.9</v>
      </c>
      <c r="L7" t="s">
        <v>3</v>
      </c>
      <c r="M7">
        <v>2</v>
      </c>
      <c r="Q7" t="s">
        <v>5</v>
      </c>
      <c r="R7">
        <v>1.5</v>
      </c>
      <c r="S7">
        <v>1.9</v>
      </c>
      <c r="T7">
        <v>0</v>
      </c>
      <c r="U7">
        <v>11</v>
      </c>
    </row>
    <row r="8" spans="1:21">
      <c r="A8">
        <v>1.78</v>
      </c>
      <c r="I8">
        <v>1.78</v>
      </c>
      <c r="Q8" t="s">
        <v>6</v>
      </c>
      <c r="R8">
        <v>2</v>
      </c>
      <c r="S8">
        <v>2</v>
      </c>
      <c r="T8">
        <v>0</v>
      </c>
      <c r="U8">
        <v>11</v>
      </c>
    </row>
    <row r="9" spans="1:21">
      <c r="A9">
        <v>1.75</v>
      </c>
      <c r="B9" t="s">
        <v>22</v>
      </c>
      <c r="C9">
        <v>9.4272332777294438E-2</v>
      </c>
      <c r="I9">
        <v>1.75</v>
      </c>
      <c r="J9" t="s">
        <v>22</v>
      </c>
      <c r="K9">
        <v>9.4272332777294438E-2</v>
      </c>
      <c r="Q9" t="s">
        <v>9</v>
      </c>
      <c r="R9">
        <v>10</v>
      </c>
    </row>
    <row r="10" spans="1:21">
      <c r="A10">
        <v>1.78</v>
      </c>
      <c r="B10" t="s">
        <v>23</v>
      </c>
      <c r="C10">
        <v>2.8424177812164424E-2</v>
      </c>
      <c r="I10">
        <v>1.78</v>
      </c>
      <c r="J10" t="s">
        <v>23</v>
      </c>
      <c r="K10">
        <v>2.8424177812164424E-2</v>
      </c>
      <c r="Q10" t="s">
        <v>10</v>
      </c>
      <c r="R10">
        <f>(R8-R7)/R9</f>
        <v>0.05</v>
      </c>
    </row>
    <row r="11" spans="1:21">
      <c r="A11">
        <v>1.9</v>
      </c>
      <c r="I11">
        <v>1.9</v>
      </c>
    </row>
    <row r="12" spans="1:21">
      <c r="A12">
        <v>1.65</v>
      </c>
      <c r="B12" t="s">
        <v>24</v>
      </c>
      <c r="C12">
        <v>6.2738284685199611E-2</v>
      </c>
      <c r="I12">
        <v>1.65</v>
      </c>
      <c r="J12" t="s">
        <v>32</v>
      </c>
      <c r="K12">
        <v>6.2738284685199611E-2</v>
      </c>
    </row>
  </sheetData>
  <pageMargins left="0.7" right="0.7" top="0.78740157499999996" bottom="0.78740157499999996" header="0.3" footer="0.3"/>
  <pageSetup paperSize="9" orientation="portrait" verticalDpi="0" r:id="rId1"/>
  <drawing r:id="rId2"/>
  <legacyDrawing r:id="rId3"/>
  <controls>
    <control shapeId="1027" r:id="rId4" name="sigma_3_test"/>
    <control shapeId="1025" r:id="rId5" name="Description_Statistics"/>
    <control shapeId="1026" r:id="rId6" name="Delete_all"/>
    <control shapeId="1028" r:id="rId7" name="Histogram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List2"/>
  <dimension ref="A1:P16"/>
  <sheetViews>
    <sheetView workbookViewId="0">
      <selection activeCell="A2" sqref="A2:A12"/>
    </sheetView>
  </sheetViews>
  <sheetFormatPr defaultRowHeight="15"/>
  <cols>
    <col min="8" max="8" width="25.140625" customWidth="1"/>
    <col min="10" max="10" width="7.140625" customWidth="1"/>
    <col min="11" max="11" width="8.5703125" customWidth="1"/>
    <col min="13" max="13" width="25.85546875" customWidth="1"/>
    <col min="15" max="15" width="8.28515625" customWidth="1"/>
  </cols>
  <sheetData>
    <row r="1" spans="1:16">
      <c r="A1" s="1" t="s">
        <v>15</v>
      </c>
      <c r="B1" s="1" t="s">
        <v>16</v>
      </c>
      <c r="H1" t="s">
        <v>25</v>
      </c>
      <c r="M1" t="s">
        <v>26</v>
      </c>
    </row>
    <row r="2" spans="1:16">
      <c r="A2">
        <v>1.9</v>
      </c>
      <c r="B2">
        <v>83</v>
      </c>
      <c r="C2">
        <v>8</v>
      </c>
      <c r="H2" t="s">
        <v>17</v>
      </c>
      <c r="I2">
        <v>32</v>
      </c>
      <c r="M2" t="s">
        <v>17</v>
      </c>
      <c r="N2">
        <v>32</v>
      </c>
    </row>
    <row r="3" spans="1:16">
      <c r="A3">
        <v>1.8</v>
      </c>
      <c r="B3">
        <v>67</v>
      </c>
      <c r="C3">
        <v>10</v>
      </c>
    </row>
    <row r="4" spans="1:16">
      <c r="A4">
        <v>1.71</v>
      </c>
      <c r="B4">
        <v>53</v>
      </c>
      <c r="C4">
        <v>7</v>
      </c>
      <c r="H4" t="s">
        <v>18</v>
      </c>
      <c r="I4">
        <v>1.7643749999999996</v>
      </c>
      <c r="M4" t="s">
        <v>18</v>
      </c>
      <c r="N4">
        <v>66.625</v>
      </c>
    </row>
    <row r="5" spans="1:16">
      <c r="A5">
        <v>1.7</v>
      </c>
      <c r="B5">
        <v>56</v>
      </c>
      <c r="C5">
        <v>1</v>
      </c>
      <c r="H5" t="s">
        <v>19</v>
      </c>
      <c r="I5">
        <v>1.7650000000000001</v>
      </c>
      <c r="M5" t="s">
        <v>19</v>
      </c>
      <c r="N5">
        <v>66</v>
      </c>
    </row>
    <row r="6" spans="1:16">
      <c r="A6">
        <v>1.74</v>
      </c>
      <c r="B6">
        <v>68</v>
      </c>
      <c r="C6">
        <v>3</v>
      </c>
      <c r="H6" t="s">
        <v>20</v>
      </c>
      <c r="I6">
        <v>1.54</v>
      </c>
      <c r="J6" t="s">
        <v>3</v>
      </c>
      <c r="K6">
        <v>14</v>
      </c>
      <c r="M6" t="s">
        <v>20</v>
      </c>
      <c r="N6">
        <v>44</v>
      </c>
      <c r="O6" t="s">
        <v>3</v>
      </c>
      <c r="P6">
        <v>14</v>
      </c>
    </row>
    <row r="7" spans="1:16">
      <c r="A7">
        <v>1.59</v>
      </c>
      <c r="B7">
        <v>60</v>
      </c>
      <c r="C7">
        <v>10</v>
      </c>
      <c r="H7" t="s">
        <v>21</v>
      </c>
      <c r="I7">
        <v>1.95</v>
      </c>
      <c r="J7" t="s">
        <v>3</v>
      </c>
      <c r="K7">
        <v>30</v>
      </c>
      <c r="M7" t="s">
        <v>21</v>
      </c>
      <c r="N7">
        <v>100</v>
      </c>
      <c r="O7" t="s">
        <v>3</v>
      </c>
      <c r="P7">
        <v>27</v>
      </c>
    </row>
    <row r="8" spans="1:16">
      <c r="A8">
        <v>1.78</v>
      </c>
      <c r="B8">
        <v>70</v>
      </c>
      <c r="C8">
        <v>3</v>
      </c>
    </row>
    <row r="9" spans="1:16">
      <c r="A9">
        <v>1.75</v>
      </c>
      <c r="B9">
        <v>55</v>
      </c>
      <c r="C9">
        <v>7</v>
      </c>
      <c r="H9" t="s">
        <v>22</v>
      </c>
      <c r="I9">
        <v>9.6851649110813356E-2</v>
      </c>
      <c r="M9" t="s">
        <v>22</v>
      </c>
      <c r="N9">
        <v>11.218504299133526</v>
      </c>
    </row>
    <row r="10" spans="1:16">
      <c r="A10">
        <v>1.78</v>
      </c>
      <c r="B10">
        <v>64</v>
      </c>
      <c r="C10">
        <v>7</v>
      </c>
      <c r="H10" t="s">
        <v>23</v>
      </c>
      <c r="I10">
        <v>1.7121114463839043E-2</v>
      </c>
      <c r="M10" t="s">
        <v>23</v>
      </c>
      <c r="N10">
        <v>1.9831701161719382</v>
      </c>
    </row>
    <row r="11" spans="1:16">
      <c r="A11">
        <v>1.9</v>
      </c>
      <c r="B11">
        <v>80</v>
      </c>
      <c r="C11">
        <v>6</v>
      </c>
    </row>
    <row r="12" spans="1:16">
      <c r="A12">
        <v>1.65</v>
      </c>
      <c r="B12">
        <v>60</v>
      </c>
      <c r="C12">
        <v>5</v>
      </c>
      <c r="H12" t="s">
        <v>24</v>
      </c>
      <c r="I12">
        <v>-0.17139180264425638</v>
      </c>
      <c r="M12" t="s">
        <v>24</v>
      </c>
      <c r="N12">
        <v>0.66206684242486935</v>
      </c>
    </row>
    <row r="14" spans="1:16">
      <c r="H14" t="s">
        <v>27</v>
      </c>
      <c r="I14">
        <v>0.87601562500000851</v>
      </c>
    </row>
    <row r="15" spans="1:16">
      <c r="H15" t="s">
        <v>28</v>
      </c>
      <c r="I15">
        <v>0.80625027145639805</v>
      </c>
    </row>
    <row r="16" spans="1:16">
      <c r="H16" t="s">
        <v>29</v>
      </c>
      <c r="I16">
        <v>6.2854761259796582E-2</v>
      </c>
    </row>
  </sheetData>
  <pageMargins left="0.7" right="0.7" top="0.78740157499999996" bottom="0.78740157499999996" header="0.3" footer="0.3"/>
  <pageSetup paperSize="9" orientation="portrait" verticalDpi="0" r:id="rId1"/>
  <drawing r:id="rId2"/>
  <legacyDrawing r:id="rId3"/>
  <controls>
    <control shapeId="2050" r:id="rId4" name="Covariance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List3"/>
  <dimension ref="A1:I16"/>
  <sheetViews>
    <sheetView workbookViewId="0">
      <selection activeCell="A3" sqref="A3:C13"/>
    </sheetView>
  </sheetViews>
  <sheetFormatPr defaultRowHeight="15"/>
  <sheetData>
    <row r="1" spans="1:9">
      <c r="A1" t="s">
        <v>37</v>
      </c>
      <c r="D1" t="s">
        <v>33</v>
      </c>
      <c r="G1" t="s">
        <v>38</v>
      </c>
    </row>
    <row r="2" spans="1:9">
      <c r="A2" t="s">
        <v>34</v>
      </c>
      <c r="B2" t="s">
        <v>35</v>
      </c>
      <c r="C2" t="s">
        <v>36</v>
      </c>
      <c r="D2" t="s">
        <v>34</v>
      </c>
      <c r="E2" t="s">
        <v>35</v>
      </c>
      <c r="F2" t="s">
        <v>36</v>
      </c>
      <c r="G2" t="s">
        <v>34</v>
      </c>
      <c r="H2" t="s">
        <v>35</v>
      </c>
      <c r="I2" t="s">
        <v>36</v>
      </c>
    </row>
    <row r="3" spans="1:9">
      <c r="A3">
        <v>1.9</v>
      </c>
      <c r="B3">
        <v>83</v>
      </c>
      <c r="C3">
        <v>8</v>
      </c>
      <c r="D3">
        <v>1.83</v>
      </c>
      <c r="E3">
        <v>65</v>
      </c>
      <c r="F3">
        <v>7</v>
      </c>
      <c r="G3">
        <v>1.92</v>
      </c>
      <c r="H3">
        <v>100</v>
      </c>
      <c r="I3">
        <v>8</v>
      </c>
    </row>
    <row r="4" spans="1:9">
      <c r="A4">
        <v>1.8</v>
      </c>
      <c r="B4">
        <v>67</v>
      </c>
      <c r="C4">
        <v>10</v>
      </c>
      <c r="D4">
        <v>1.54</v>
      </c>
      <c r="E4">
        <v>44</v>
      </c>
      <c r="F4">
        <v>3</v>
      </c>
      <c r="G4">
        <v>1.75</v>
      </c>
      <c r="H4">
        <v>70</v>
      </c>
      <c r="I4">
        <v>2</v>
      </c>
    </row>
    <row r="5" spans="1:9">
      <c r="A5">
        <v>1.71</v>
      </c>
      <c r="B5">
        <v>53</v>
      </c>
      <c r="C5">
        <v>7</v>
      </c>
      <c r="D5">
        <v>1.63</v>
      </c>
      <c r="E5">
        <v>54</v>
      </c>
      <c r="F5">
        <v>3</v>
      </c>
      <c r="G5">
        <v>1.78</v>
      </c>
      <c r="H5">
        <v>66</v>
      </c>
      <c r="I5">
        <v>11</v>
      </c>
    </row>
    <row r="6" spans="1:9">
      <c r="A6">
        <v>1.7</v>
      </c>
      <c r="B6">
        <v>56</v>
      </c>
      <c r="C6">
        <v>1</v>
      </c>
      <c r="D6">
        <v>1.79</v>
      </c>
      <c r="E6">
        <v>74</v>
      </c>
      <c r="F6">
        <v>11</v>
      </c>
      <c r="G6">
        <v>1.95</v>
      </c>
      <c r="H6">
        <v>83</v>
      </c>
      <c r="I6">
        <v>3</v>
      </c>
    </row>
    <row r="7" spans="1:9">
      <c r="A7">
        <v>1.74</v>
      </c>
      <c r="B7">
        <v>68</v>
      </c>
      <c r="C7">
        <v>3</v>
      </c>
      <c r="D7">
        <v>1.65</v>
      </c>
      <c r="E7">
        <v>50</v>
      </c>
      <c r="F7">
        <v>11</v>
      </c>
      <c r="G7">
        <v>1.72</v>
      </c>
      <c r="H7">
        <v>57</v>
      </c>
      <c r="I7">
        <v>11</v>
      </c>
    </row>
    <row r="8" spans="1:9">
      <c r="A8">
        <v>1.59</v>
      </c>
      <c r="B8">
        <v>60</v>
      </c>
      <c r="C8">
        <v>10</v>
      </c>
      <c r="D8">
        <v>1.68</v>
      </c>
      <c r="E8">
        <v>66</v>
      </c>
      <c r="F8">
        <v>10</v>
      </c>
      <c r="G8">
        <v>1.75</v>
      </c>
      <c r="H8">
        <v>65</v>
      </c>
      <c r="I8">
        <v>5</v>
      </c>
    </row>
    <row r="9" spans="1:9">
      <c r="A9">
        <v>1.78</v>
      </c>
      <c r="B9">
        <v>70</v>
      </c>
      <c r="C9">
        <v>3</v>
      </c>
      <c r="D9">
        <v>1.73</v>
      </c>
      <c r="E9">
        <v>65</v>
      </c>
      <c r="F9">
        <v>10</v>
      </c>
      <c r="G9">
        <v>1.69</v>
      </c>
      <c r="H9">
        <v>58</v>
      </c>
      <c r="I9">
        <v>9</v>
      </c>
    </row>
    <row r="10" spans="1:9">
      <c r="A10">
        <v>1.75</v>
      </c>
      <c r="B10">
        <v>55</v>
      </c>
      <c r="C10">
        <v>7</v>
      </c>
      <c r="D10">
        <v>1.81</v>
      </c>
      <c r="E10">
        <v>65</v>
      </c>
      <c r="F10">
        <v>12</v>
      </c>
    </row>
    <row r="11" spans="1:9">
      <c r="A11">
        <v>1.78</v>
      </c>
      <c r="B11">
        <v>64</v>
      </c>
      <c r="C11">
        <v>7</v>
      </c>
      <c r="D11">
        <v>1.73</v>
      </c>
      <c r="E11">
        <v>69</v>
      </c>
      <c r="F11">
        <v>11</v>
      </c>
    </row>
    <row r="12" spans="1:9">
      <c r="A12">
        <v>1.9</v>
      </c>
      <c r="B12">
        <v>80</v>
      </c>
      <c r="C12">
        <v>6</v>
      </c>
      <c r="D12">
        <v>1.78</v>
      </c>
      <c r="E12">
        <v>75</v>
      </c>
      <c r="F12">
        <v>6</v>
      </c>
    </row>
    <row r="13" spans="1:9">
      <c r="A13">
        <v>1.65</v>
      </c>
      <c r="B13">
        <v>60</v>
      </c>
      <c r="C13">
        <v>5</v>
      </c>
      <c r="D13">
        <v>1.83</v>
      </c>
      <c r="E13">
        <v>67</v>
      </c>
      <c r="F13">
        <v>2</v>
      </c>
    </row>
    <row r="14" spans="1:9">
      <c r="D14">
        <v>1.87</v>
      </c>
      <c r="E14">
        <v>68</v>
      </c>
      <c r="F14">
        <v>2</v>
      </c>
    </row>
    <row r="15" spans="1:9">
      <c r="D15">
        <v>1.86</v>
      </c>
      <c r="E15">
        <v>74</v>
      </c>
      <c r="F15">
        <v>11</v>
      </c>
    </row>
    <row r="16" spans="1:9">
      <c r="D16">
        <v>1.87</v>
      </c>
      <c r="E16">
        <v>81</v>
      </c>
      <c r="F16">
        <v>3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3</vt:i4>
      </vt:variant>
    </vt:vector>
  </HeadingPairs>
  <TitlesOfParts>
    <vt:vector size="3" baseType="lpstr">
      <vt:lpstr>descriptive</vt:lpstr>
      <vt:lpstr>correlation</vt:lpstr>
      <vt:lpstr>List3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Jakub</dc:creator>
  <cp:lastModifiedBy>Jakub</cp:lastModifiedBy>
  <dcterms:created xsi:type="dcterms:W3CDTF">2018-02-17T00:56:16Z</dcterms:created>
  <dcterms:modified xsi:type="dcterms:W3CDTF">2018-11-24T16:21:19Z</dcterms:modified>
</cp:coreProperties>
</file>